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7C371EF5-CEDF-4B83-A6E2-86E38CFE3A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Sheet1!$A$1:$H$11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1" l="1"/>
  <c r="K6" i="1"/>
  <c r="K4" i="1"/>
  <c r="K3" i="1"/>
  <c r="K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<sst xmlns="http://schemas.openxmlformats.org/spreadsheetml/2006/main" count="54" uniqueCount="45">
  <si>
    <t>Order ID</t>
  </si>
  <si>
    <t xml:space="preserve">Customer Name </t>
  </si>
  <si>
    <t>Product</t>
  </si>
  <si>
    <t>Quantity</t>
  </si>
  <si>
    <t>Price</t>
  </si>
  <si>
    <t xml:space="preserve">Total </t>
  </si>
  <si>
    <t>Status</t>
  </si>
  <si>
    <t>Order Date</t>
  </si>
  <si>
    <t>SALES SUMMARY</t>
  </si>
  <si>
    <t>ORD-001</t>
  </si>
  <si>
    <t>Maria Santos</t>
  </si>
  <si>
    <t>Wireless Mouse</t>
  </si>
  <si>
    <t>Completed</t>
  </si>
  <si>
    <t>Total Orders</t>
  </si>
  <si>
    <t>ORD-002</t>
  </si>
  <si>
    <t>John Cruz</t>
  </si>
  <si>
    <t>Keyboard</t>
  </si>
  <si>
    <t>Pending</t>
  </si>
  <si>
    <t>ORD-003</t>
  </si>
  <si>
    <t>Ana Reyes</t>
  </si>
  <si>
    <t>USB Hub</t>
  </si>
  <si>
    <t>ORD-004</t>
  </si>
  <si>
    <t>Mark Garcia</t>
  </si>
  <si>
    <t>Webcam</t>
  </si>
  <si>
    <t xml:space="preserve">Processing </t>
  </si>
  <si>
    <t>Processing</t>
  </si>
  <si>
    <t>ORD-005</t>
  </si>
  <si>
    <t>Sarah Lim</t>
  </si>
  <si>
    <t>Headset</t>
  </si>
  <si>
    <t>Total Sales</t>
  </si>
  <si>
    <t>ORD-006</t>
  </si>
  <si>
    <t>Carlo Mendoza</t>
  </si>
  <si>
    <t>Laptop Stand</t>
  </si>
  <si>
    <t>ORD-007</t>
  </si>
  <si>
    <t>Angela Flores</t>
  </si>
  <si>
    <t>Mouse Pad</t>
  </si>
  <si>
    <t>ORD-008</t>
  </si>
  <si>
    <t>Daniel Ramos</t>
  </si>
  <si>
    <t>USB Cable</t>
  </si>
  <si>
    <t>ORD-009</t>
  </si>
  <si>
    <t>Kevin Tan</t>
  </si>
  <si>
    <t>Mechanical Keyboard</t>
  </si>
  <si>
    <t>ORD-010</t>
  </si>
  <si>
    <t>Lisa Garcia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</si>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</sst>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₱-3409]* #,##0.00_-;\-[$₱-3409]* #,##0.00_-;_-[$₱-3409]* &quot;-&quot;??_-;_-@_-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3" fillId="0" borderId="0" xfId="0" applyFont="1"/>
    <xf numFmtId="14" fontId="3" fillId="0" borderId="0" xfId="0" applyNumberFormat="1" applyFont="1"/>
    <xf numFmtId="164" fontId="0" fillId="0" borderId="0" xfId="0" applyNumberFormat="1" applyFont="1"/>
    <xf numFmtId="15" fontId="0" fillId="0" borderId="0" xfId="0" applyNumberFormat="1" applyFont="1"/>
    <xf numFmtId="0" fontId="2" fillId="2" borderId="0" xfId="0" applyFont="1" applyFill="1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J2" sqref="J2:K6"/>
    </sheetView>
  </sheetViews>
  <sheetFormatPr defaultRowHeight="15"/>
  <cols>
    <col min="1" max="8" width="16.140625" customWidth="1"/>
    <col min="9" max="9" width="11.85546875" customWidth="1"/>
    <col min="10" max="10" width="16" customWidth="1"/>
    <col min="11" max="11" width="13.28515625" customWidth="1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/>
      <c r="J1" s="6" t="s">
        <v>8</v>
      </c>
      <c r="K1" s="7"/>
    </row>
    <row r="2" spans="1:11">
      <c r="A2" s="2" t="s">
        <v>9</v>
      </c>
      <c r="B2" s="1" t="s">
        <v>10</v>
      </c>
      <c r="C2" s="1" t="s">
        <v>11</v>
      </c>
      <c r="D2" s="1">
        <v>2</v>
      </c>
      <c r="E2" s="1">
        <v>450</v>
      </c>
      <c r="F2" s="4">
        <f>D2*E2</f>
        <v>900</v>
      </c>
      <c r="G2" s="1" t="s">
        <v>12</v>
      </c>
      <c r="H2" s="5">
        <v>46235</v>
      </c>
      <c r="J2" s="8" t="s">
        <v>13</v>
      </c>
      <c r="K2" s="8">
        <f>COUNTA(A2:A11)</f>
        <v>10</v>
      </c>
    </row>
    <row r="3" spans="1:11">
      <c r="A3" s="2" t="s">
        <v>14</v>
      </c>
      <c r="B3" s="1" t="s">
        <v>15</v>
      </c>
      <c r="C3" s="1" t="s">
        <v>16</v>
      </c>
      <c r="D3" s="1">
        <v>1</v>
      </c>
      <c r="E3" s="1">
        <v>850</v>
      </c>
      <c r="F3" s="4">
        <f t="shared" ref="F3:F11" si="0">D3*E3</f>
        <v>850</v>
      </c>
      <c r="G3" s="1" t="s">
        <v>17</v>
      </c>
      <c r="H3" s="3">
        <v>46236</v>
      </c>
      <c r="J3" s="8" t="s">
        <v>12</v>
      </c>
      <c r="K3" s="8">
        <f>COUNTIF(G2:G11,"Completed")</f>
        <v>5</v>
      </c>
    </row>
    <row r="4" spans="1:11">
      <c r="A4" s="2" t="s">
        <v>18</v>
      </c>
      <c r="B4" s="1" t="s">
        <v>19</v>
      </c>
      <c r="C4" s="1" t="s">
        <v>20</v>
      </c>
      <c r="D4" s="1">
        <v>3</v>
      </c>
      <c r="E4" s="1">
        <v>350</v>
      </c>
      <c r="F4" s="4">
        <f t="shared" si="0"/>
        <v>1050</v>
      </c>
      <c r="G4" s="1" t="s">
        <v>12</v>
      </c>
      <c r="H4" s="3">
        <v>46237</v>
      </c>
      <c r="J4" s="8" t="s">
        <v>17</v>
      </c>
      <c r="K4" s="8">
        <f>COUNTIF(G2:G11,"Pending")</f>
        <v>3</v>
      </c>
    </row>
    <row r="5" spans="1:11">
      <c r="A5" s="2" t="s">
        <v>21</v>
      </c>
      <c r="B5" s="1" t="s">
        <v>22</v>
      </c>
      <c r="C5" s="1" t="s">
        <v>23</v>
      </c>
      <c r="D5" s="1">
        <v>1</v>
      </c>
      <c r="E5" s="1">
        <v>1200</v>
      </c>
      <c r="F5" s="4">
        <f t="shared" si="0"/>
        <v>1200</v>
      </c>
      <c r="G5" s="1" t="s">
        <v>24</v>
      </c>
      <c r="H5" s="3">
        <v>46238</v>
      </c>
      <c r="J5" s="8" t="s">
        <v>25</v>
      </c>
      <c r="K5" s="8">
        <f>COUNTIF(G2:G11,"*Processing*")</f>
        <v>2</v>
      </c>
    </row>
    <row r="6" spans="1:11">
      <c r="A6" s="2" t="s">
        <v>26</v>
      </c>
      <c r="B6" s="1" t="s">
        <v>27</v>
      </c>
      <c r="C6" s="1" t="s">
        <v>28</v>
      </c>
      <c r="D6" s="1">
        <v>2</v>
      </c>
      <c r="E6" s="1">
        <v>650</v>
      </c>
      <c r="F6" s="4">
        <f t="shared" si="0"/>
        <v>1300</v>
      </c>
      <c r="G6" s="1" t="s">
        <v>17</v>
      </c>
      <c r="H6" s="3">
        <v>46239</v>
      </c>
      <c r="J6" s="8" t="s">
        <v>29</v>
      </c>
      <c r="K6" s="9">
        <f>SUM(F2:F11)</f>
        <v>13520</v>
      </c>
    </row>
    <row r="7" spans="1:11">
      <c r="A7" s="2" t="s">
        <v>30</v>
      </c>
      <c r="B7" s="1" t="s">
        <v>31</v>
      </c>
      <c r="C7" s="1" t="s">
        <v>32</v>
      </c>
      <c r="D7" s="1">
        <v>1</v>
      </c>
      <c r="E7" s="1">
        <v>750</v>
      </c>
      <c r="F7" s="4">
        <f t="shared" si="0"/>
        <v>750</v>
      </c>
      <c r="G7" s="1" t="s">
        <v>12</v>
      </c>
      <c r="H7" s="3">
        <v>46240</v>
      </c>
    </row>
    <row r="8" spans="1:11">
      <c r="A8" s="2" t="s">
        <v>33</v>
      </c>
      <c r="B8" s="1" t="s">
        <v>34</v>
      </c>
      <c r="C8" s="1" t="s">
        <v>35</v>
      </c>
      <c r="D8" s="1">
        <v>3</v>
      </c>
      <c r="E8" s="1">
        <v>250</v>
      </c>
      <c r="F8" s="4">
        <f t="shared" si="0"/>
        <v>750</v>
      </c>
      <c r="G8" s="1" t="s">
        <v>24</v>
      </c>
      <c r="H8" s="3">
        <v>46241</v>
      </c>
    </row>
    <row r="9" spans="1:11">
      <c r="A9" s="2" t="s">
        <v>36</v>
      </c>
      <c r="B9" s="1" t="s">
        <v>37</v>
      </c>
      <c r="C9" s="1" t="s">
        <v>38</v>
      </c>
      <c r="D9" s="1">
        <v>4</v>
      </c>
      <c r="E9" s="1">
        <v>180</v>
      </c>
      <c r="F9" s="4">
        <f t="shared" si="0"/>
        <v>720</v>
      </c>
      <c r="G9" s="1" t="s">
        <v>12</v>
      </c>
      <c r="H9" s="3">
        <v>46242</v>
      </c>
    </row>
    <row r="10" spans="1:11">
      <c r="A10" s="1" t="s">
        <v>39</v>
      </c>
      <c r="B10" s="1" t="s">
        <v>40</v>
      </c>
      <c r="C10" s="1" t="s">
        <v>41</v>
      </c>
      <c r="D10" s="1">
        <v>1</v>
      </c>
      <c r="E10" s="1">
        <v>1500</v>
      </c>
      <c r="F10" s="4">
        <f t="shared" si="0"/>
        <v>1500</v>
      </c>
      <c r="G10" s="1" t="s">
        <v>17</v>
      </c>
      <c r="H10" s="3">
        <v>46243</v>
      </c>
    </row>
    <row r="11" spans="1:11">
      <c r="A11" s="2" t="s">
        <v>42</v>
      </c>
      <c r="B11" s="1" t="s">
        <v>43</v>
      </c>
      <c r="C11" s="1" t="s">
        <v>44</v>
      </c>
      <c r="D11" s="1">
        <v>1</v>
      </c>
      <c r="E11" s="1">
        <v>4500</v>
      </c>
      <c r="F11" s="4">
        <f t="shared" si="0"/>
        <v>4500</v>
      </c>
      <c r="G11" s="1" t="s">
        <v>12</v>
      </c>
      <c r="H11" s="3">
        <v>46244</v>
      </c>
    </row>
  </sheetData>
  <autoFilter ref="A1:H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2026-08-14T11:48:32Z</dcterms:created>
  <dcterms:modified xsi:type="dcterms:W3CDTF">2026-08-14T12:53:34Z</dcterms:modified>
  <cp:category/>
  <cp:contentStatus/>
</cp:coreProperties>
</file>